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DADES\N.E.G.O.C.I.O.S\FAST FOOD\Hamburgueria\"/>
    </mc:Choice>
  </mc:AlternateContent>
  <xr:revisionPtr revIDLastSave="0" documentId="13_ncr:1_{F5CD65A7-B904-4335-B8DD-702B52C31EC0}" xr6:coauthVersionLast="46" xr6:coauthVersionMax="46" xr10:uidLastSave="{00000000-0000-0000-0000-000000000000}"/>
  <bookViews>
    <workbookView xWindow="3540" yWindow="690" windowWidth="15375" windowHeight="9330" xr2:uid="{A82062ED-4EB6-4302-B2B9-2FE2531BC699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6" i="1" s="1"/>
  <c r="E28" i="1" s="1"/>
  <c r="F30" i="1"/>
  <c r="F28" i="1"/>
  <c r="K56" i="1"/>
  <c r="K57" i="1"/>
  <c r="K59" i="1"/>
  <c r="K25" i="1"/>
  <c r="Q53" i="1"/>
  <c r="Q54" i="1"/>
  <c r="W55" i="1"/>
  <c r="W56" i="1" s="1"/>
  <c r="Q24" i="1"/>
  <c r="W24" i="1"/>
  <c r="W25" i="1" s="1"/>
  <c r="W58" i="1" l="1"/>
  <c r="Q56" i="1"/>
  <c r="K24" i="1"/>
  <c r="K27" i="1" l="1"/>
  <c r="W27" i="1"/>
  <c r="Q25" i="1"/>
  <c r="Q27" i="1"/>
</calcChain>
</file>

<file path=xl/sharedStrings.xml><?xml version="1.0" encoding="utf-8"?>
<sst xmlns="http://schemas.openxmlformats.org/spreadsheetml/2006/main" count="125" uniqueCount="48">
  <si>
    <t>Pão de Hamburguer</t>
  </si>
  <si>
    <t>Big Aggy</t>
  </si>
  <si>
    <t>Manteiga</t>
  </si>
  <si>
    <t>Queijo</t>
  </si>
  <si>
    <t>Ovo</t>
  </si>
  <si>
    <t>Carne de Hamburguer</t>
  </si>
  <si>
    <t>total</t>
  </si>
  <si>
    <t>taxa de entrega</t>
  </si>
  <si>
    <t>subtotal</t>
  </si>
  <si>
    <t>Hot Burguer</t>
  </si>
  <si>
    <t>Bacon Barbecue</t>
  </si>
  <si>
    <t>Custo Fixo</t>
  </si>
  <si>
    <t>Cartão de Crédito</t>
  </si>
  <si>
    <t>Taxa de Processamento</t>
  </si>
  <si>
    <t>Taxa de Antifraude</t>
  </si>
  <si>
    <t>Comissão</t>
  </si>
  <si>
    <t>Saladix</t>
  </si>
  <si>
    <t>Master Combo</t>
  </si>
  <si>
    <t>Simples Duplo</t>
  </si>
  <si>
    <t>Monte Fritas</t>
  </si>
  <si>
    <t>Lucro Bruto</t>
  </si>
  <si>
    <t>taxa de entrega Inclusa</t>
  </si>
  <si>
    <t>Molho Especial de Pimenta</t>
  </si>
  <si>
    <t>Alface</t>
  </si>
  <si>
    <t>Tomate</t>
  </si>
  <si>
    <t>Molho</t>
  </si>
  <si>
    <t>Bacon</t>
  </si>
  <si>
    <t>Hamburguer de Frango</t>
  </si>
  <si>
    <t>Cebola Roxa</t>
  </si>
  <si>
    <t>Molho Catchup</t>
  </si>
  <si>
    <t>Molho Mostarda</t>
  </si>
  <si>
    <t>Calabresa 20x (fatias)</t>
  </si>
  <si>
    <t>Batata Frita (500g)</t>
  </si>
  <si>
    <t>Molho (Catchup)</t>
  </si>
  <si>
    <t>Molho (Mostarda)</t>
  </si>
  <si>
    <t>Molho (Maionese)</t>
  </si>
  <si>
    <t>Ovo de Codorna (6x)</t>
  </si>
  <si>
    <t>Azeitonas (200g)</t>
  </si>
  <si>
    <t>Embalagem</t>
  </si>
  <si>
    <t>1x Coca Cola 350ml</t>
  </si>
  <si>
    <t>1x Batata Frita</t>
  </si>
  <si>
    <t>INSTAGRAM</t>
  </si>
  <si>
    <t>PriHouse</t>
  </si>
  <si>
    <t>Paradinha dos Lanches</t>
  </si>
  <si>
    <t>OK</t>
  </si>
  <si>
    <t>PENDENTE</t>
  </si>
  <si>
    <t>QQ EU COMO</t>
  </si>
  <si>
    <t>LE Max Hamburgueria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</si>
</sst>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4" fontId="0" fillId="0" borderId="1" xfId="1" applyFont="1" applyBorder="1"/>
    <xf numFmtId="44" fontId="0" fillId="0" borderId="1" xfId="0" applyNumberFormat="1" applyBorder="1"/>
    <xf numFmtId="9" fontId="0" fillId="0" borderId="0" xfId="2" applyFont="1"/>
    <xf numFmtId="10" fontId="0" fillId="0" borderId="0" xfId="2" applyNumberFormat="1" applyFont="1"/>
    <xf numFmtId="9" fontId="0" fillId="0" borderId="1" xfId="2" applyFont="1" applyBorder="1"/>
    <xf numFmtId="10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F4C1-7A8C-4D8C-B60A-8265BA100508}">
  <dimension ref="A1:W59"/>
  <sheetViews>
    <sheetView tabSelected="1" topLeftCell="F37" workbookViewId="0">
      <selection activeCell="W27" sqref="W27"/>
    </sheetView>
  </sheetViews>
  <sheetFormatPr defaultRowHeight="15" x14ac:dyDescent="0.25"/>
  <cols>
    <col min="5" max="6" width="9.5703125" bestFit="1" customWidth="1"/>
    <col min="11" max="11" width="10.140625" customWidth="1"/>
    <col min="17" max="17" width="9.5703125" bestFit="1" customWidth="1"/>
    <col min="22" max="22" width="5.140625" customWidth="1"/>
    <col min="23" max="23" width="12.140625" customWidth="1"/>
  </cols>
  <sheetData>
    <row r="1" spans="1:23" x14ac:dyDescent="0.25">
      <c r="A1" s="9"/>
      <c r="B1" s="9"/>
      <c r="C1" s="9"/>
      <c r="D1" s="9"/>
      <c r="E1" s="9"/>
      <c r="G1" s="9"/>
      <c r="H1" s="9"/>
      <c r="I1" s="9"/>
      <c r="J1" s="9"/>
      <c r="K1" s="9"/>
      <c r="M1" s="9"/>
      <c r="N1" s="9"/>
      <c r="O1" s="9"/>
      <c r="P1" s="9"/>
      <c r="Q1" s="9"/>
      <c r="S1" s="9"/>
      <c r="T1" s="9"/>
      <c r="U1" s="9"/>
      <c r="V1" s="9"/>
      <c r="W1" s="9"/>
    </row>
    <row r="2" spans="1:23" x14ac:dyDescent="0.25">
      <c r="A2" s="9"/>
      <c r="B2" s="9"/>
      <c r="C2" s="9"/>
      <c r="D2" s="9"/>
      <c r="E2" s="9"/>
      <c r="G2" s="9"/>
      <c r="H2" s="9"/>
      <c r="I2" s="9"/>
      <c r="J2" s="9"/>
      <c r="K2" s="9"/>
      <c r="M2" s="9"/>
      <c r="N2" s="9"/>
      <c r="O2" s="9"/>
      <c r="P2" s="9"/>
      <c r="Q2" s="9"/>
      <c r="S2" s="9"/>
      <c r="T2" s="9"/>
      <c r="U2" s="9"/>
      <c r="V2" s="9"/>
      <c r="W2" s="9"/>
    </row>
    <row r="3" spans="1:23" x14ac:dyDescent="0.25">
      <c r="A3" s="9"/>
      <c r="B3" s="9"/>
      <c r="C3" s="9"/>
      <c r="D3" s="9"/>
      <c r="E3" s="9"/>
      <c r="G3" s="9"/>
      <c r="H3" s="9"/>
      <c r="I3" s="9"/>
      <c r="J3" s="9"/>
      <c r="K3" s="9"/>
      <c r="M3" s="9"/>
      <c r="N3" s="9"/>
      <c r="O3" s="9"/>
      <c r="P3" s="9"/>
      <c r="Q3" s="9"/>
      <c r="S3" s="9"/>
      <c r="T3" s="9"/>
      <c r="U3" s="9"/>
      <c r="V3" s="9"/>
      <c r="W3" s="9"/>
    </row>
    <row r="4" spans="1:23" x14ac:dyDescent="0.25">
      <c r="A4" s="9"/>
      <c r="B4" s="9"/>
      <c r="C4" s="9"/>
      <c r="D4" s="9"/>
      <c r="E4" s="9"/>
      <c r="G4" s="9"/>
      <c r="H4" s="9"/>
      <c r="I4" s="9"/>
      <c r="J4" s="9"/>
      <c r="K4" s="9"/>
      <c r="M4" s="9"/>
      <c r="N4" s="9"/>
      <c r="O4" s="9"/>
      <c r="P4" s="9"/>
      <c r="Q4" s="9"/>
      <c r="S4" s="9"/>
      <c r="T4" s="9"/>
      <c r="U4" s="9"/>
      <c r="V4" s="9"/>
      <c r="W4" s="9"/>
    </row>
    <row r="5" spans="1:23" x14ac:dyDescent="0.25">
      <c r="A5" s="9"/>
      <c r="B5" s="9"/>
      <c r="C5" s="9"/>
      <c r="D5" s="9"/>
      <c r="E5" s="9"/>
      <c r="G5" s="9"/>
      <c r="H5" s="9"/>
      <c r="I5" s="9"/>
      <c r="J5" s="9"/>
      <c r="K5" s="9"/>
      <c r="M5" s="9"/>
      <c r="N5" s="9"/>
      <c r="O5" s="9"/>
      <c r="P5" s="9"/>
      <c r="Q5" s="9"/>
      <c r="S5" s="9"/>
      <c r="T5" s="9"/>
      <c r="U5" s="9"/>
      <c r="V5" s="9"/>
      <c r="W5" s="9"/>
    </row>
    <row r="6" spans="1:23" x14ac:dyDescent="0.25">
      <c r="A6" s="9"/>
      <c r="B6" s="9"/>
      <c r="C6" s="9"/>
      <c r="D6" s="9"/>
      <c r="E6" s="9"/>
      <c r="G6" s="9"/>
      <c r="H6" s="9"/>
      <c r="I6" s="9"/>
      <c r="J6" s="9"/>
      <c r="K6" s="9"/>
      <c r="M6" s="9"/>
      <c r="N6" s="9"/>
      <c r="O6" s="9"/>
      <c r="P6" s="9"/>
      <c r="Q6" s="9"/>
      <c r="S6" s="9"/>
      <c r="T6" s="9"/>
      <c r="U6" s="9"/>
      <c r="V6" s="9"/>
      <c r="W6" s="9"/>
    </row>
    <row r="7" spans="1:23" x14ac:dyDescent="0.25">
      <c r="A7" s="9"/>
      <c r="B7" s="9"/>
      <c r="C7" s="9"/>
      <c r="D7" s="9"/>
      <c r="E7" s="9"/>
      <c r="G7" s="9"/>
      <c r="H7" s="9"/>
      <c r="I7" s="9"/>
      <c r="J7" s="9"/>
      <c r="K7" s="9"/>
      <c r="M7" s="9"/>
      <c r="N7" s="9"/>
      <c r="O7" s="9"/>
      <c r="P7" s="9"/>
      <c r="Q7" s="9"/>
      <c r="S7" s="9"/>
      <c r="T7" s="9"/>
      <c r="U7" s="9"/>
      <c r="V7" s="9"/>
      <c r="W7" s="9"/>
    </row>
    <row r="8" spans="1:23" x14ac:dyDescent="0.25">
      <c r="A8" s="9"/>
      <c r="B8" s="9"/>
      <c r="C8" s="9"/>
      <c r="D8" s="9"/>
      <c r="E8" s="9"/>
      <c r="G8" s="9"/>
      <c r="H8" s="9"/>
      <c r="I8" s="9"/>
      <c r="J8" s="9"/>
      <c r="K8" s="9"/>
      <c r="M8" s="9"/>
      <c r="N8" s="9"/>
      <c r="O8" s="9"/>
      <c r="P8" s="9"/>
      <c r="Q8" s="9"/>
      <c r="S8" s="9"/>
      <c r="T8" s="9"/>
      <c r="U8" s="9"/>
      <c r="V8" s="9"/>
      <c r="W8" s="9"/>
    </row>
    <row r="9" spans="1:23" x14ac:dyDescent="0.25">
      <c r="A9" s="9"/>
      <c r="B9" s="9"/>
      <c r="C9" s="9"/>
      <c r="D9" s="9"/>
      <c r="E9" s="9"/>
      <c r="G9" s="9"/>
      <c r="H9" s="9"/>
      <c r="I9" s="9"/>
      <c r="J9" s="9"/>
      <c r="K9" s="9"/>
      <c r="M9" s="9"/>
      <c r="N9" s="9"/>
      <c r="O9" s="9"/>
      <c r="P9" s="9"/>
      <c r="Q9" s="9"/>
      <c r="S9" s="9"/>
      <c r="T9" s="9"/>
      <c r="U9" s="9"/>
      <c r="V9" s="9"/>
      <c r="W9" s="9"/>
    </row>
    <row r="10" spans="1:23" x14ac:dyDescent="0.25">
      <c r="A10" s="9"/>
      <c r="B10" s="9"/>
      <c r="C10" s="9"/>
      <c r="D10" s="9"/>
      <c r="E10" s="9"/>
      <c r="G10" s="9"/>
      <c r="H10" s="9"/>
      <c r="I10" s="9"/>
      <c r="J10" s="9"/>
      <c r="K10" s="9"/>
      <c r="M10" s="9"/>
      <c r="N10" s="9"/>
      <c r="O10" s="9"/>
      <c r="P10" s="9"/>
      <c r="Q10" s="9"/>
      <c r="S10" s="9"/>
      <c r="T10" s="9"/>
      <c r="U10" s="9"/>
      <c r="V10" s="9"/>
      <c r="W10" s="9"/>
    </row>
    <row r="11" spans="1:23" x14ac:dyDescent="0.25">
      <c r="A11" s="9"/>
      <c r="B11" s="9"/>
      <c r="C11" s="9"/>
      <c r="D11" s="9"/>
      <c r="E11" s="9"/>
      <c r="G11" s="9"/>
      <c r="H11" s="9"/>
      <c r="I11" s="9"/>
      <c r="J11" s="9"/>
      <c r="K11" s="9"/>
      <c r="M11" s="9"/>
      <c r="N11" s="9"/>
      <c r="O11" s="9"/>
      <c r="P11" s="9"/>
      <c r="Q11" s="9"/>
      <c r="S11" s="9"/>
      <c r="T11" s="9"/>
      <c r="U11" s="9"/>
      <c r="V11" s="9"/>
      <c r="W11" s="9"/>
    </row>
    <row r="12" spans="1:23" x14ac:dyDescent="0.25">
      <c r="A12" s="9"/>
      <c r="B12" s="9"/>
      <c r="C12" s="9"/>
      <c r="D12" s="9"/>
      <c r="E12" s="9"/>
      <c r="G12" s="9"/>
      <c r="H12" s="9"/>
      <c r="I12" s="9"/>
      <c r="J12" s="9"/>
      <c r="K12" s="9"/>
      <c r="M12" s="9"/>
      <c r="N12" s="9"/>
      <c r="O12" s="9"/>
      <c r="P12" s="9"/>
      <c r="Q12" s="9"/>
      <c r="S12" s="9"/>
      <c r="T12" s="9"/>
      <c r="U12" s="9"/>
      <c r="V12" s="9"/>
      <c r="W12" s="9"/>
    </row>
    <row r="13" spans="1:23" ht="27" customHeight="1" x14ac:dyDescent="0.25">
      <c r="A13" s="13" t="s">
        <v>1</v>
      </c>
      <c r="B13" s="13"/>
      <c r="C13" s="13"/>
      <c r="D13" s="13"/>
      <c r="E13" s="13"/>
      <c r="G13" s="13" t="s">
        <v>9</v>
      </c>
      <c r="H13" s="13"/>
      <c r="I13" s="13"/>
      <c r="J13" s="13"/>
      <c r="K13" s="13"/>
      <c r="M13" s="13" t="s">
        <v>10</v>
      </c>
      <c r="N13" s="13"/>
      <c r="O13" s="13"/>
      <c r="P13" s="13"/>
      <c r="Q13" s="13"/>
      <c r="S13" s="13" t="s">
        <v>16</v>
      </c>
      <c r="T13" s="13"/>
      <c r="U13" s="13"/>
      <c r="V13" s="13"/>
      <c r="W13" s="13"/>
    </row>
    <row r="14" spans="1:23" x14ac:dyDescent="0.25">
      <c r="A14" s="9" t="s">
        <v>0</v>
      </c>
      <c r="B14" s="9"/>
      <c r="C14" s="9"/>
      <c r="D14" s="9"/>
      <c r="E14" s="2">
        <v>1.32</v>
      </c>
      <c r="G14" s="9" t="s">
        <v>0</v>
      </c>
      <c r="H14" s="9"/>
      <c r="I14" s="9"/>
      <c r="J14" s="9"/>
      <c r="K14" s="2">
        <v>1.32</v>
      </c>
      <c r="M14" s="9" t="s">
        <v>0</v>
      </c>
      <c r="N14" s="9"/>
      <c r="O14" s="9"/>
      <c r="P14" s="9"/>
      <c r="Q14" s="2">
        <v>1.32</v>
      </c>
      <c r="S14" s="9" t="s">
        <v>0</v>
      </c>
      <c r="T14" s="9"/>
      <c r="U14" s="9"/>
      <c r="V14" s="9"/>
      <c r="W14" s="2">
        <v>1.32</v>
      </c>
    </row>
    <row r="15" spans="1:23" x14ac:dyDescent="0.25">
      <c r="A15" s="9" t="s">
        <v>2</v>
      </c>
      <c r="B15" s="9"/>
      <c r="C15" s="9"/>
      <c r="D15" s="9"/>
      <c r="E15" s="2">
        <v>0.05</v>
      </c>
      <c r="G15" s="9" t="s">
        <v>2</v>
      </c>
      <c r="H15" s="9"/>
      <c r="I15" s="9"/>
      <c r="J15" s="9"/>
      <c r="K15" s="2">
        <v>0.05</v>
      </c>
      <c r="M15" s="9" t="s">
        <v>2</v>
      </c>
      <c r="N15" s="9"/>
      <c r="O15" s="9"/>
      <c r="P15" s="9"/>
      <c r="Q15" s="2">
        <v>0.05</v>
      </c>
      <c r="S15" s="9" t="s">
        <v>2</v>
      </c>
      <c r="T15" s="9"/>
      <c r="U15" s="9"/>
      <c r="V15" s="9"/>
      <c r="W15" s="2">
        <v>0.05</v>
      </c>
    </row>
    <row r="16" spans="1:23" x14ac:dyDescent="0.25">
      <c r="A16" s="9" t="s">
        <v>4</v>
      </c>
      <c r="B16" s="9"/>
      <c r="C16" s="9"/>
      <c r="D16" s="9"/>
      <c r="E16" s="2">
        <v>0.26</v>
      </c>
      <c r="G16" s="9" t="s">
        <v>4</v>
      </c>
      <c r="H16" s="9"/>
      <c r="I16" s="9"/>
      <c r="J16" s="9"/>
      <c r="K16" s="2">
        <v>0.26</v>
      </c>
      <c r="M16" s="9" t="s">
        <v>23</v>
      </c>
      <c r="N16" s="9"/>
      <c r="O16" s="9"/>
      <c r="P16" s="9"/>
      <c r="Q16" s="2">
        <v>0.25</v>
      </c>
      <c r="S16" s="9" t="s">
        <v>24</v>
      </c>
      <c r="T16" s="9"/>
      <c r="U16" s="9"/>
      <c r="V16" s="9"/>
      <c r="W16" s="2">
        <v>0.26</v>
      </c>
    </row>
    <row r="17" spans="1:23" x14ac:dyDescent="0.25">
      <c r="A17" s="9" t="s">
        <v>3</v>
      </c>
      <c r="B17" s="9"/>
      <c r="C17" s="9"/>
      <c r="D17" s="9"/>
      <c r="E17" s="2">
        <v>0.8</v>
      </c>
      <c r="G17" s="9" t="s">
        <v>3</v>
      </c>
      <c r="H17" s="9"/>
      <c r="I17" s="9"/>
      <c r="J17" s="9"/>
      <c r="K17" s="2">
        <v>1.1299999999999999</v>
      </c>
      <c r="M17" s="9" t="s">
        <v>24</v>
      </c>
      <c r="N17" s="9"/>
      <c r="O17" s="9"/>
      <c r="P17" s="9"/>
      <c r="Q17" s="2">
        <v>0.24</v>
      </c>
      <c r="S17" s="9" t="s">
        <v>23</v>
      </c>
      <c r="T17" s="9"/>
      <c r="U17" s="9"/>
      <c r="V17" s="9"/>
      <c r="W17" s="2">
        <v>1.1299999999999999</v>
      </c>
    </row>
    <row r="18" spans="1:23" x14ac:dyDescent="0.25">
      <c r="A18" s="9" t="s">
        <v>5</v>
      </c>
      <c r="B18" s="9"/>
      <c r="C18" s="9"/>
      <c r="D18" s="9"/>
      <c r="E18" s="2">
        <v>0.7</v>
      </c>
      <c r="G18" s="9" t="s">
        <v>5</v>
      </c>
      <c r="H18" s="9"/>
      <c r="I18" s="9"/>
      <c r="J18" s="9"/>
      <c r="K18" s="2">
        <v>1.58</v>
      </c>
      <c r="M18" s="9" t="s">
        <v>25</v>
      </c>
      <c r="N18" s="9"/>
      <c r="O18" s="9"/>
      <c r="P18" s="9"/>
      <c r="Q18" s="2">
        <v>1</v>
      </c>
      <c r="S18" s="9" t="s">
        <v>27</v>
      </c>
      <c r="T18" s="9"/>
      <c r="U18" s="9"/>
      <c r="V18" s="9"/>
      <c r="W18" s="2">
        <v>1.58</v>
      </c>
    </row>
    <row r="19" spans="1:23" x14ac:dyDescent="0.25">
      <c r="A19" s="9" t="s">
        <v>4</v>
      </c>
      <c r="B19" s="9"/>
      <c r="C19" s="9"/>
      <c r="D19" s="9"/>
      <c r="E19" s="2">
        <v>0.26</v>
      </c>
      <c r="G19" s="9" t="s">
        <v>4</v>
      </c>
      <c r="H19" s="9"/>
      <c r="I19" s="9"/>
      <c r="J19" s="9"/>
      <c r="K19" s="2">
        <v>0.26</v>
      </c>
      <c r="M19" s="9" t="s">
        <v>5</v>
      </c>
      <c r="N19" s="9"/>
      <c r="O19" s="9"/>
      <c r="P19" s="9"/>
      <c r="Q19" s="2">
        <v>1.58</v>
      </c>
      <c r="S19" s="9" t="s">
        <v>25</v>
      </c>
      <c r="T19" s="9"/>
      <c r="U19" s="9"/>
      <c r="V19" s="9"/>
      <c r="W19" s="2">
        <v>1</v>
      </c>
    </row>
    <row r="20" spans="1:23" x14ac:dyDescent="0.25">
      <c r="A20" s="14" t="s">
        <v>21</v>
      </c>
      <c r="B20" s="15"/>
      <c r="C20" s="15"/>
      <c r="D20" s="16"/>
      <c r="E20" s="2">
        <v>3.99</v>
      </c>
      <c r="G20" s="9" t="s">
        <v>21</v>
      </c>
      <c r="H20" s="9"/>
      <c r="I20" s="9"/>
      <c r="J20" s="9"/>
      <c r="K20" s="2">
        <v>3.99</v>
      </c>
      <c r="M20" s="9" t="s">
        <v>26</v>
      </c>
      <c r="N20" s="9"/>
      <c r="O20" s="9"/>
      <c r="P20" s="9"/>
      <c r="Q20" s="2">
        <v>2.2000000000000002</v>
      </c>
      <c r="S20" s="9" t="s">
        <v>28</v>
      </c>
      <c r="T20" s="9"/>
      <c r="U20" s="9"/>
      <c r="V20" s="9"/>
      <c r="W20" s="2">
        <v>1</v>
      </c>
    </row>
    <row r="21" spans="1:23" x14ac:dyDescent="0.25">
      <c r="A21" s="9" t="s">
        <v>13</v>
      </c>
      <c r="B21" s="9"/>
      <c r="C21" s="9"/>
      <c r="D21" s="9"/>
      <c r="E21" s="2">
        <v>0.5</v>
      </c>
      <c r="G21" s="9" t="s">
        <v>22</v>
      </c>
      <c r="H21" s="9"/>
      <c r="I21" s="9"/>
      <c r="J21" s="9"/>
      <c r="K21" s="2">
        <v>1</v>
      </c>
      <c r="M21" s="9" t="s">
        <v>21</v>
      </c>
      <c r="N21" s="9"/>
      <c r="O21" s="9"/>
      <c r="P21" s="9"/>
      <c r="Q21" s="2">
        <v>3.99</v>
      </c>
      <c r="S21" s="9" t="s">
        <v>21</v>
      </c>
      <c r="T21" s="9"/>
      <c r="U21" s="9"/>
      <c r="V21" s="9"/>
      <c r="W21" s="2">
        <v>3.99</v>
      </c>
    </row>
    <row r="22" spans="1:23" x14ac:dyDescent="0.25">
      <c r="A22" s="9" t="s">
        <v>14</v>
      </c>
      <c r="B22" s="9"/>
      <c r="C22" s="9"/>
      <c r="D22" s="9"/>
      <c r="E22" s="2">
        <v>0.7</v>
      </c>
      <c r="G22" s="9" t="s">
        <v>13</v>
      </c>
      <c r="H22" s="9"/>
      <c r="I22" s="9"/>
      <c r="J22" s="9"/>
      <c r="K22" s="2">
        <v>0.5</v>
      </c>
      <c r="M22" s="9" t="s">
        <v>13</v>
      </c>
      <c r="N22" s="9"/>
      <c r="O22" s="9"/>
      <c r="P22" s="9"/>
      <c r="Q22" s="2">
        <v>0.5</v>
      </c>
      <c r="S22" s="9" t="s">
        <v>13</v>
      </c>
      <c r="T22" s="9"/>
      <c r="U22" s="9"/>
      <c r="V22" s="9"/>
      <c r="W22" s="2">
        <v>0.5</v>
      </c>
    </row>
    <row r="23" spans="1:23" x14ac:dyDescent="0.25">
      <c r="A23" s="9" t="s">
        <v>38</v>
      </c>
      <c r="B23" s="9"/>
      <c r="C23" s="9"/>
      <c r="D23" s="9"/>
      <c r="E23" s="2">
        <v>0.14000000000000001</v>
      </c>
      <c r="G23" s="9" t="s">
        <v>14</v>
      </c>
      <c r="H23" s="9"/>
      <c r="I23" s="9"/>
      <c r="J23" s="9"/>
      <c r="K23" s="2">
        <v>0.7</v>
      </c>
      <c r="M23" s="9" t="s">
        <v>14</v>
      </c>
      <c r="N23" s="9"/>
      <c r="O23" s="9"/>
      <c r="P23" s="9"/>
      <c r="Q23" s="2">
        <v>0.7</v>
      </c>
      <c r="S23" s="9" t="s">
        <v>14</v>
      </c>
      <c r="T23" s="9"/>
      <c r="U23" s="9"/>
      <c r="V23" s="9"/>
      <c r="W23" s="2">
        <v>0.7</v>
      </c>
    </row>
    <row r="24" spans="1:23" x14ac:dyDescent="0.25">
      <c r="A24" s="9" t="s">
        <v>25</v>
      </c>
      <c r="B24" s="9"/>
      <c r="C24" s="9"/>
      <c r="D24" s="9"/>
      <c r="E24" s="2">
        <v>1</v>
      </c>
      <c r="G24" s="8" t="s">
        <v>8</v>
      </c>
      <c r="H24" s="8"/>
      <c r="I24" s="8"/>
      <c r="J24" s="8"/>
      <c r="K24" s="3">
        <f>K14+K15+K16+K17+K18+K19+K20+K21+K22+K23</f>
        <v>10.79</v>
      </c>
      <c r="M24" s="8" t="s">
        <v>8</v>
      </c>
      <c r="N24" s="8"/>
      <c r="O24" s="8"/>
      <c r="P24" s="8"/>
      <c r="Q24" s="3">
        <f>Q14+Q15+Q16+Q17+Q18+Q19+Q21+Q20+Q22+Q23</f>
        <v>11.829999999999998</v>
      </c>
      <c r="S24" s="8" t="s">
        <v>8</v>
      </c>
      <c r="T24" s="8"/>
      <c r="U24" s="8"/>
      <c r="V24" s="8"/>
      <c r="W24" s="3">
        <f>W14+W15+W16+W17+W18+W19+W20+W21+W22+W23</f>
        <v>11.53</v>
      </c>
    </row>
    <row r="25" spans="1:23" x14ac:dyDescent="0.25">
      <c r="A25" s="10" t="s">
        <v>8</v>
      </c>
      <c r="B25" s="11"/>
      <c r="C25" s="11"/>
      <c r="D25" s="12"/>
      <c r="E25" s="3">
        <f>E14+E15+E16+E17+E18+E19+E20+E21+E22+E23+E24</f>
        <v>9.7200000000000006</v>
      </c>
      <c r="G25" s="8" t="s">
        <v>6</v>
      </c>
      <c r="H25" s="8"/>
      <c r="I25" s="8"/>
      <c r="J25" s="8"/>
      <c r="K25" s="3">
        <f>(K24/(1-(K26+E34)))</f>
        <v>12.51594942582067</v>
      </c>
      <c r="M25" s="8" t="s">
        <v>6</v>
      </c>
      <c r="N25" s="8"/>
      <c r="O25" s="8"/>
      <c r="P25" s="8"/>
      <c r="Q25" s="3">
        <f>(Q24/(1-(Q26+E34)))</f>
        <v>13.722305996984106</v>
      </c>
      <c r="S25" s="8" t="s">
        <v>6</v>
      </c>
      <c r="T25" s="8"/>
      <c r="U25" s="8"/>
      <c r="V25" s="8"/>
      <c r="W25" s="3">
        <f>(W24/(1-(W26+E34)))</f>
        <v>13.374318524533116</v>
      </c>
    </row>
    <row r="26" spans="1:23" x14ac:dyDescent="0.25">
      <c r="A26" s="8" t="s">
        <v>6</v>
      </c>
      <c r="B26" s="8"/>
      <c r="C26" s="8"/>
      <c r="D26" s="8"/>
      <c r="E26" s="3">
        <f>(E25/(1-(E27+E34)))</f>
        <v>11.274794107412134</v>
      </c>
      <c r="G26" s="8" t="s">
        <v>15</v>
      </c>
      <c r="H26" s="8"/>
      <c r="I26" s="8"/>
      <c r="J26" s="8"/>
      <c r="K26" s="6">
        <v>0.1</v>
      </c>
      <c r="M26" s="8" t="s">
        <v>15</v>
      </c>
      <c r="N26" s="8"/>
      <c r="O26" s="8"/>
      <c r="P26" s="8"/>
      <c r="Q26" s="6">
        <v>0.1</v>
      </c>
      <c r="S26" s="8" t="s">
        <v>15</v>
      </c>
      <c r="T26" s="8"/>
      <c r="U26" s="8"/>
      <c r="V26" s="8"/>
      <c r="W26" s="6">
        <v>0.1</v>
      </c>
    </row>
    <row r="27" spans="1:23" ht="15.75" customHeight="1" x14ac:dyDescent="0.25">
      <c r="A27" s="8" t="s">
        <v>15</v>
      </c>
      <c r="B27" s="8"/>
      <c r="C27" s="8"/>
      <c r="D27" s="8"/>
      <c r="E27" s="6">
        <v>0.1</v>
      </c>
      <c r="G27" s="8" t="s">
        <v>20</v>
      </c>
      <c r="H27" s="8"/>
      <c r="I27" s="8"/>
      <c r="J27" s="8"/>
      <c r="K27" s="2">
        <f>K24*K26</f>
        <v>1.079</v>
      </c>
      <c r="M27" s="8" t="s">
        <v>20</v>
      </c>
      <c r="N27" s="8"/>
      <c r="O27" s="8"/>
      <c r="P27" s="8"/>
      <c r="Q27" s="2">
        <f>Q24*Q26</f>
        <v>1.1829999999999998</v>
      </c>
      <c r="S27" s="8" t="s">
        <v>20</v>
      </c>
      <c r="T27" s="8"/>
      <c r="U27" s="8"/>
      <c r="V27" s="8"/>
      <c r="W27" s="2">
        <f>W24*W26</f>
        <v>1.153</v>
      </c>
    </row>
    <row r="28" spans="1:23" x14ac:dyDescent="0.25">
      <c r="A28" s="8" t="s">
        <v>20</v>
      </c>
      <c r="B28" s="8"/>
      <c r="C28" s="8"/>
      <c r="D28" s="8"/>
      <c r="E28" s="2">
        <f>E26*E27</f>
        <v>1.1274794107412134</v>
      </c>
      <c r="F28" s="4">
        <f>(1-E27)</f>
        <v>0.9</v>
      </c>
    </row>
    <row r="29" spans="1:23" x14ac:dyDescent="0.25">
      <c r="F29" s="1"/>
      <c r="G29" s="9"/>
      <c r="H29" s="9"/>
      <c r="I29" s="9"/>
      <c r="J29" s="9"/>
      <c r="K29" s="9"/>
      <c r="M29" s="9"/>
      <c r="N29" s="9"/>
      <c r="O29" s="9"/>
      <c r="P29" s="9"/>
      <c r="Q29" s="9"/>
      <c r="S29" s="9"/>
      <c r="T29" s="9"/>
      <c r="U29" s="9"/>
      <c r="V29" s="9"/>
      <c r="W29" s="9"/>
    </row>
    <row r="30" spans="1:23" x14ac:dyDescent="0.25">
      <c r="F30" s="7">
        <f>(1-(E27+E34))</f>
        <v>0.86209999999999998</v>
      </c>
      <c r="G30" s="9"/>
      <c r="H30" s="9"/>
      <c r="I30" s="9"/>
      <c r="J30" s="9"/>
      <c r="K30" s="9"/>
      <c r="M30" s="9"/>
      <c r="N30" s="9"/>
      <c r="O30" s="9"/>
      <c r="P30" s="9"/>
      <c r="Q30" s="9"/>
      <c r="S30" s="9"/>
      <c r="T30" s="9"/>
      <c r="U30" s="9"/>
      <c r="V30" s="9"/>
      <c r="W30" s="9"/>
    </row>
    <row r="31" spans="1:23" x14ac:dyDescent="0.25">
      <c r="G31" s="9"/>
      <c r="H31" s="9"/>
      <c r="I31" s="9"/>
      <c r="J31" s="9"/>
      <c r="K31" s="9"/>
      <c r="M31" s="9"/>
      <c r="N31" s="9"/>
      <c r="O31" s="9"/>
      <c r="P31" s="9"/>
      <c r="Q31" s="9"/>
      <c r="S31" s="9"/>
      <c r="T31" s="9"/>
      <c r="U31" s="9"/>
      <c r="V31" s="9"/>
      <c r="W31" s="9"/>
    </row>
    <row r="32" spans="1:23" x14ac:dyDescent="0.25">
      <c r="A32" s="18"/>
      <c r="B32" s="18"/>
      <c r="C32" s="18"/>
      <c r="D32" s="18"/>
      <c r="G32" s="9"/>
      <c r="H32" s="9"/>
      <c r="I32" s="9"/>
      <c r="J32" s="9"/>
      <c r="K32" s="9"/>
      <c r="M32" s="9"/>
      <c r="N32" s="9"/>
      <c r="O32" s="9"/>
      <c r="P32" s="9"/>
      <c r="Q32" s="9"/>
      <c r="S32" s="9"/>
      <c r="T32" s="9"/>
      <c r="U32" s="9"/>
      <c r="V32" s="9"/>
      <c r="W32" s="9"/>
    </row>
    <row r="33" spans="1:23" ht="18.75" x14ac:dyDescent="0.25">
      <c r="A33" s="17" t="s">
        <v>11</v>
      </c>
      <c r="B33" s="17"/>
      <c r="C33" s="17"/>
      <c r="D33" s="17"/>
      <c r="E33" s="17"/>
      <c r="G33" s="9"/>
      <c r="H33" s="9"/>
      <c r="I33" s="9"/>
      <c r="J33" s="9"/>
      <c r="K33" s="9"/>
      <c r="M33" s="9"/>
      <c r="N33" s="9"/>
      <c r="O33" s="9"/>
      <c r="P33" s="9"/>
      <c r="Q33" s="9"/>
      <c r="S33" s="9"/>
      <c r="T33" s="9"/>
      <c r="U33" s="9"/>
      <c r="V33" s="9"/>
      <c r="W33" s="9"/>
    </row>
    <row r="34" spans="1:23" x14ac:dyDescent="0.25">
      <c r="A34" s="18" t="s">
        <v>12</v>
      </c>
      <c r="B34" s="18"/>
      <c r="C34" s="18"/>
      <c r="D34" s="18"/>
      <c r="E34" s="5">
        <v>3.7900000000000003E-2</v>
      </c>
      <c r="G34" s="9"/>
      <c r="H34" s="9"/>
      <c r="I34" s="9"/>
      <c r="J34" s="9"/>
      <c r="K34" s="9"/>
      <c r="M34" s="9"/>
      <c r="N34" s="9"/>
      <c r="O34" s="9"/>
      <c r="P34" s="9"/>
      <c r="Q34" s="9"/>
      <c r="S34" s="9"/>
      <c r="T34" s="9"/>
      <c r="U34" s="9"/>
      <c r="V34" s="9"/>
      <c r="W34" s="9"/>
    </row>
    <row r="35" spans="1:23" x14ac:dyDescent="0.25">
      <c r="A35" s="18" t="s">
        <v>13</v>
      </c>
      <c r="B35" s="18"/>
      <c r="C35" s="18"/>
      <c r="D35" s="18"/>
      <c r="E35" s="1">
        <v>0.5</v>
      </c>
      <c r="G35" s="9"/>
      <c r="H35" s="9"/>
      <c r="I35" s="9"/>
      <c r="J35" s="9"/>
      <c r="K35" s="9"/>
      <c r="M35" s="9"/>
      <c r="N35" s="9"/>
      <c r="O35" s="9"/>
      <c r="P35" s="9"/>
      <c r="Q35" s="9"/>
      <c r="S35" s="9"/>
      <c r="T35" s="9"/>
      <c r="U35" s="9"/>
      <c r="V35" s="9"/>
      <c r="W35" s="9"/>
    </row>
    <row r="36" spans="1:23" x14ac:dyDescent="0.25">
      <c r="A36" s="18" t="s">
        <v>14</v>
      </c>
      <c r="B36" s="18"/>
      <c r="C36" s="18"/>
      <c r="D36" s="18"/>
      <c r="E36" s="1">
        <v>0.7</v>
      </c>
      <c r="G36" s="9"/>
      <c r="H36" s="9"/>
      <c r="I36" s="9"/>
      <c r="J36" s="9"/>
      <c r="K36" s="9"/>
      <c r="M36" s="9"/>
      <c r="N36" s="9"/>
      <c r="O36" s="9"/>
      <c r="P36" s="9"/>
      <c r="Q36" s="9"/>
      <c r="S36" s="9"/>
      <c r="T36" s="9"/>
      <c r="U36" s="9"/>
      <c r="V36" s="9"/>
      <c r="W36" s="9"/>
    </row>
    <row r="37" spans="1:23" x14ac:dyDescent="0.25">
      <c r="A37" s="18" t="s">
        <v>15</v>
      </c>
      <c r="B37" s="18"/>
      <c r="C37" s="18"/>
      <c r="D37" s="18"/>
      <c r="E37" s="4">
        <v>0</v>
      </c>
      <c r="G37" s="9"/>
      <c r="H37" s="9"/>
      <c r="I37" s="9"/>
      <c r="J37" s="9"/>
      <c r="K37" s="9"/>
      <c r="M37" s="9"/>
      <c r="N37" s="9"/>
      <c r="O37" s="9"/>
      <c r="P37" s="9"/>
      <c r="Q37" s="9"/>
      <c r="S37" s="9"/>
      <c r="T37" s="9"/>
      <c r="U37" s="9"/>
      <c r="V37" s="9"/>
      <c r="W37" s="9"/>
    </row>
    <row r="38" spans="1:23" x14ac:dyDescent="0.25">
      <c r="G38" s="9"/>
      <c r="H38" s="9"/>
      <c r="I38" s="9"/>
      <c r="J38" s="9"/>
      <c r="K38" s="9"/>
      <c r="M38" s="9"/>
      <c r="N38" s="9"/>
      <c r="O38" s="9"/>
      <c r="P38" s="9"/>
      <c r="Q38" s="9"/>
      <c r="S38" s="9"/>
      <c r="T38" s="9"/>
      <c r="U38" s="9"/>
      <c r="V38" s="9"/>
      <c r="W38" s="9"/>
    </row>
    <row r="39" spans="1:23" x14ac:dyDescent="0.25">
      <c r="G39" s="9"/>
      <c r="H39" s="9"/>
      <c r="I39" s="9"/>
      <c r="J39" s="9"/>
      <c r="K39" s="9"/>
      <c r="M39" s="9"/>
      <c r="N39" s="9"/>
      <c r="O39" s="9"/>
      <c r="P39" s="9"/>
      <c r="Q39" s="9"/>
      <c r="S39" s="9"/>
      <c r="T39" s="9"/>
      <c r="U39" s="9"/>
      <c r="V39" s="9"/>
      <c r="W39" s="9"/>
    </row>
    <row r="40" spans="1:23" x14ac:dyDescent="0.25">
      <c r="G40" s="9"/>
      <c r="H40" s="9"/>
      <c r="I40" s="9"/>
      <c r="J40" s="9"/>
      <c r="K40" s="9"/>
      <c r="M40" s="9"/>
      <c r="N40" s="9"/>
      <c r="O40" s="9"/>
      <c r="P40" s="9"/>
      <c r="Q40" s="9"/>
      <c r="S40" s="9"/>
      <c r="T40" s="9"/>
      <c r="U40" s="9"/>
      <c r="V40" s="9"/>
      <c r="W40" s="9"/>
    </row>
    <row r="41" spans="1:23" ht="18.75" x14ac:dyDescent="0.25">
      <c r="G41" s="13" t="s">
        <v>17</v>
      </c>
      <c r="H41" s="13"/>
      <c r="I41" s="13"/>
      <c r="J41" s="13"/>
      <c r="K41" s="13"/>
      <c r="M41" s="13" t="s">
        <v>18</v>
      </c>
      <c r="N41" s="13"/>
      <c r="O41" s="13"/>
      <c r="P41" s="13"/>
      <c r="Q41" s="13"/>
      <c r="S41" s="13" t="s">
        <v>19</v>
      </c>
      <c r="T41" s="13"/>
      <c r="U41" s="13"/>
      <c r="V41" s="13"/>
      <c r="W41" s="13"/>
    </row>
    <row r="42" spans="1:23" x14ac:dyDescent="0.25">
      <c r="G42" s="9" t="s">
        <v>0</v>
      </c>
      <c r="H42" s="9"/>
      <c r="I42" s="9"/>
      <c r="J42" s="9"/>
      <c r="K42" s="2">
        <v>1.32</v>
      </c>
      <c r="M42" s="9" t="s">
        <v>0</v>
      </c>
      <c r="N42" s="9"/>
      <c r="O42" s="9"/>
      <c r="P42" s="9"/>
      <c r="Q42" s="2">
        <v>1.32</v>
      </c>
      <c r="S42" s="14" t="s">
        <v>31</v>
      </c>
      <c r="T42" s="15"/>
      <c r="U42" s="15"/>
      <c r="V42" s="16"/>
      <c r="W42" s="2">
        <v>2</v>
      </c>
    </row>
    <row r="43" spans="1:23" x14ac:dyDescent="0.25">
      <c r="G43" s="9" t="s">
        <v>2</v>
      </c>
      <c r="H43" s="9"/>
      <c r="I43" s="9"/>
      <c r="J43" s="9"/>
      <c r="K43" s="2">
        <v>0.05</v>
      </c>
      <c r="M43" s="9" t="s">
        <v>2</v>
      </c>
      <c r="N43" s="9"/>
      <c r="O43" s="9"/>
      <c r="P43" s="9"/>
      <c r="Q43" s="2">
        <v>0.05</v>
      </c>
      <c r="S43" s="14" t="s">
        <v>32</v>
      </c>
      <c r="T43" s="15"/>
      <c r="U43" s="15"/>
      <c r="V43" s="16"/>
      <c r="W43" s="2">
        <v>2.5</v>
      </c>
    </row>
    <row r="44" spans="1:23" x14ac:dyDescent="0.25">
      <c r="G44" s="9" t="s">
        <v>23</v>
      </c>
      <c r="H44" s="9"/>
      <c r="I44" s="9"/>
      <c r="J44" s="9"/>
      <c r="K44" s="2">
        <v>0.25</v>
      </c>
      <c r="M44" s="14" t="s">
        <v>3</v>
      </c>
      <c r="N44" s="15"/>
      <c r="O44" s="15"/>
      <c r="P44" s="16"/>
      <c r="Q44" s="2">
        <v>1.1299999999999999</v>
      </c>
      <c r="S44" s="14" t="s">
        <v>36</v>
      </c>
      <c r="T44" s="15"/>
      <c r="U44" s="15"/>
      <c r="V44" s="16"/>
      <c r="W44" s="2">
        <v>1.71</v>
      </c>
    </row>
    <row r="45" spans="1:23" x14ac:dyDescent="0.25">
      <c r="G45" s="9" t="s">
        <v>24</v>
      </c>
      <c r="H45" s="9"/>
      <c r="I45" s="9"/>
      <c r="J45" s="9"/>
      <c r="K45" s="2">
        <v>0.24</v>
      </c>
      <c r="M45" s="14" t="s">
        <v>5</v>
      </c>
      <c r="N45" s="15"/>
      <c r="O45" s="15"/>
      <c r="P45" s="16"/>
      <c r="Q45" s="2">
        <v>1.58</v>
      </c>
      <c r="S45" s="9" t="s">
        <v>37</v>
      </c>
      <c r="T45" s="9"/>
      <c r="U45" s="9"/>
      <c r="V45" s="9"/>
      <c r="W45" s="2">
        <v>4.1900000000000004</v>
      </c>
    </row>
    <row r="46" spans="1:23" x14ac:dyDescent="0.25">
      <c r="G46" s="9" t="s">
        <v>25</v>
      </c>
      <c r="H46" s="9"/>
      <c r="I46" s="9"/>
      <c r="J46" s="9"/>
      <c r="K46" s="2">
        <v>1</v>
      </c>
      <c r="M46" s="9" t="s">
        <v>7</v>
      </c>
      <c r="N46" s="9"/>
      <c r="O46" s="9"/>
      <c r="P46" s="9"/>
      <c r="Q46" s="2">
        <v>3.99</v>
      </c>
      <c r="S46" s="9" t="s">
        <v>33</v>
      </c>
      <c r="T46" s="9"/>
      <c r="U46" s="9"/>
      <c r="V46" s="9"/>
      <c r="W46" s="2">
        <v>0.5</v>
      </c>
    </row>
    <row r="47" spans="1:23" x14ac:dyDescent="0.25">
      <c r="G47" s="9" t="s">
        <v>5</v>
      </c>
      <c r="H47" s="9"/>
      <c r="I47" s="9"/>
      <c r="J47" s="9"/>
      <c r="K47" s="2">
        <v>1.58</v>
      </c>
      <c r="M47" s="9" t="s">
        <v>13</v>
      </c>
      <c r="N47" s="9"/>
      <c r="O47" s="9"/>
      <c r="P47" s="9"/>
      <c r="Q47" s="2">
        <v>0.5</v>
      </c>
      <c r="S47" s="9" t="s">
        <v>34</v>
      </c>
      <c r="T47" s="9"/>
      <c r="U47" s="9"/>
      <c r="V47" s="9"/>
      <c r="W47" s="2">
        <v>0.5</v>
      </c>
    </row>
    <row r="48" spans="1:23" x14ac:dyDescent="0.25">
      <c r="G48" s="9" t="s">
        <v>26</v>
      </c>
      <c r="H48" s="9"/>
      <c r="I48" s="9"/>
      <c r="J48" s="9"/>
      <c r="K48" s="2">
        <v>2.2000000000000002</v>
      </c>
      <c r="M48" s="9" t="s">
        <v>14</v>
      </c>
      <c r="N48" s="9"/>
      <c r="O48" s="9"/>
      <c r="P48" s="9"/>
      <c r="Q48" s="2">
        <v>0.7</v>
      </c>
      <c r="S48" s="9" t="s">
        <v>35</v>
      </c>
      <c r="T48" s="9"/>
      <c r="U48" s="9"/>
      <c r="V48" s="9"/>
      <c r="W48" s="2">
        <v>0.5</v>
      </c>
    </row>
    <row r="49" spans="7:23" x14ac:dyDescent="0.25">
      <c r="G49" s="9" t="s">
        <v>21</v>
      </c>
      <c r="H49" s="9"/>
      <c r="I49" s="9"/>
      <c r="J49" s="9"/>
      <c r="K49" s="2">
        <v>3.99</v>
      </c>
      <c r="M49" s="9" t="s">
        <v>29</v>
      </c>
      <c r="N49" s="9"/>
      <c r="O49" s="9"/>
      <c r="P49" s="9"/>
      <c r="Q49" s="2">
        <v>0.25</v>
      </c>
      <c r="S49" s="9" t="s">
        <v>21</v>
      </c>
      <c r="T49" s="9"/>
      <c r="U49" s="9"/>
      <c r="V49" s="9"/>
      <c r="W49" s="2">
        <v>3.99</v>
      </c>
    </row>
    <row r="50" spans="7:23" x14ac:dyDescent="0.25">
      <c r="G50" s="9" t="s">
        <v>13</v>
      </c>
      <c r="H50" s="9"/>
      <c r="I50" s="9"/>
      <c r="J50" s="9"/>
      <c r="K50" s="2">
        <v>0.5</v>
      </c>
      <c r="M50" s="9" t="s">
        <v>30</v>
      </c>
      <c r="N50" s="9"/>
      <c r="O50" s="9"/>
      <c r="P50" s="9"/>
      <c r="Q50" s="2">
        <v>0.25</v>
      </c>
      <c r="S50" s="9" t="s">
        <v>13</v>
      </c>
      <c r="T50" s="9"/>
      <c r="U50" s="9"/>
      <c r="V50" s="9"/>
      <c r="W50" s="2">
        <v>0.5</v>
      </c>
    </row>
    <row r="51" spans="7:23" x14ac:dyDescent="0.25">
      <c r="G51" s="9" t="s">
        <v>14</v>
      </c>
      <c r="H51" s="9"/>
      <c r="I51" s="9"/>
      <c r="J51" s="9"/>
      <c r="K51" s="2">
        <v>0.7</v>
      </c>
      <c r="M51" s="9" t="s">
        <v>23</v>
      </c>
      <c r="N51" s="9"/>
      <c r="O51" s="9"/>
      <c r="P51" s="9"/>
      <c r="Q51" s="2">
        <v>0.05</v>
      </c>
      <c r="S51" s="9" t="s">
        <v>14</v>
      </c>
      <c r="T51" s="9"/>
      <c r="U51" s="9"/>
      <c r="V51" s="9"/>
      <c r="W51" s="2">
        <v>0.7</v>
      </c>
    </row>
    <row r="52" spans="7:23" x14ac:dyDescent="0.25">
      <c r="G52" s="9" t="s">
        <v>38</v>
      </c>
      <c r="H52" s="9"/>
      <c r="I52" s="9"/>
      <c r="J52" s="9"/>
      <c r="K52" s="2">
        <v>0.3</v>
      </c>
      <c r="M52" s="9" t="s">
        <v>38</v>
      </c>
      <c r="N52" s="9"/>
      <c r="O52" s="9"/>
      <c r="P52" s="9"/>
      <c r="Q52" s="2">
        <v>0.3</v>
      </c>
      <c r="S52" s="9" t="s">
        <v>38</v>
      </c>
      <c r="T52" s="9"/>
      <c r="U52" s="9"/>
      <c r="V52" s="9"/>
      <c r="W52" s="2">
        <v>1.08</v>
      </c>
    </row>
    <row r="53" spans="7:23" x14ac:dyDescent="0.25">
      <c r="G53" s="9" t="s">
        <v>39</v>
      </c>
      <c r="H53" s="9"/>
      <c r="I53" s="9"/>
      <c r="J53" s="9"/>
      <c r="K53" s="2">
        <v>1.99</v>
      </c>
      <c r="M53" s="8" t="s">
        <v>8</v>
      </c>
      <c r="N53" s="8"/>
      <c r="O53" s="8"/>
      <c r="P53" s="8"/>
      <c r="Q53" s="3">
        <f>((Q42+Q43+Q44+Q45+Q46+Q49+Q50+Q51+Q52)*2)+Q47+Q48</f>
        <v>19.040000000000003</v>
      </c>
      <c r="S53" s="9"/>
      <c r="T53" s="9"/>
      <c r="U53" s="9"/>
      <c r="V53" s="9"/>
      <c r="W53" s="2"/>
    </row>
    <row r="54" spans="7:23" x14ac:dyDescent="0.25">
      <c r="G54" s="9" t="s">
        <v>40</v>
      </c>
      <c r="H54" s="9"/>
      <c r="I54" s="9"/>
      <c r="J54" s="9"/>
      <c r="K54" s="2">
        <v>1</v>
      </c>
      <c r="M54" s="8" t="s">
        <v>6</v>
      </c>
      <c r="N54" s="8"/>
      <c r="O54" s="8"/>
      <c r="P54" s="8"/>
      <c r="Q54" s="3">
        <f>(Q53/(1-(Q55+E34)))</f>
        <v>20.648519683331529</v>
      </c>
      <c r="S54" s="9"/>
      <c r="T54" s="9"/>
      <c r="U54" s="9"/>
      <c r="V54" s="9"/>
      <c r="W54" s="2"/>
    </row>
    <row r="55" spans="7:23" x14ac:dyDescent="0.25">
      <c r="G55" s="9"/>
      <c r="H55" s="9"/>
      <c r="I55" s="9"/>
      <c r="J55" s="9"/>
      <c r="K55" s="2"/>
      <c r="M55" s="8" t="s">
        <v>15</v>
      </c>
      <c r="N55" s="8"/>
      <c r="O55" s="8"/>
      <c r="P55" s="8"/>
      <c r="Q55" s="6">
        <v>0.04</v>
      </c>
      <c r="S55" s="8" t="s">
        <v>8</v>
      </c>
      <c r="T55" s="8"/>
      <c r="U55" s="8"/>
      <c r="V55" s="8"/>
      <c r="W55" s="3">
        <f>W42+W43+W44+W45+W46+W47+W48+W49+W50+W51+W52</f>
        <v>18.170000000000002</v>
      </c>
    </row>
    <row r="56" spans="7:23" x14ac:dyDescent="0.25">
      <c r="G56" s="10" t="s">
        <v>8</v>
      </c>
      <c r="H56" s="11"/>
      <c r="I56" s="11"/>
      <c r="J56" s="12"/>
      <c r="K56" s="3">
        <f>K42+K43+K44+K45+K46+K47+K48+K49+K50+K51+K52+K53+K54</f>
        <v>15.120000000000001</v>
      </c>
      <c r="M56" s="8" t="s">
        <v>20</v>
      </c>
      <c r="N56" s="8"/>
      <c r="O56" s="8"/>
      <c r="P56" s="8"/>
      <c r="Q56" s="2">
        <f>Q53*Q55</f>
        <v>0.76160000000000017</v>
      </c>
      <c r="S56" s="8" t="s">
        <v>6</v>
      </c>
      <c r="T56" s="8"/>
      <c r="U56" s="8"/>
      <c r="V56" s="8"/>
      <c r="W56" s="3">
        <f>(W55/(1-(W57+E34)))</f>
        <v>19.705021147380979</v>
      </c>
    </row>
    <row r="57" spans="7:23" x14ac:dyDescent="0.25">
      <c r="G57" s="10" t="s">
        <v>6</v>
      </c>
      <c r="H57" s="11"/>
      <c r="I57" s="11"/>
      <c r="J57" s="12"/>
      <c r="K57" s="3">
        <f>(K56/(1-(K58+E34)))</f>
        <v>17.538568611529985</v>
      </c>
      <c r="S57" s="8" t="s">
        <v>15</v>
      </c>
      <c r="T57" s="8"/>
      <c r="U57" s="8"/>
      <c r="V57" s="8"/>
      <c r="W57" s="6">
        <v>0.04</v>
      </c>
    </row>
    <row r="58" spans="7:23" x14ac:dyDescent="0.25">
      <c r="G58" s="8" t="s">
        <v>15</v>
      </c>
      <c r="H58" s="8"/>
      <c r="I58" s="8"/>
      <c r="J58" s="8"/>
      <c r="K58" s="6">
        <v>0.1</v>
      </c>
      <c r="S58" s="8" t="s">
        <v>20</v>
      </c>
      <c r="T58" s="8"/>
      <c r="U58" s="8"/>
      <c r="V58" s="8"/>
      <c r="W58" s="2">
        <f>W55*W57</f>
        <v>0.72680000000000011</v>
      </c>
    </row>
    <row r="59" spans="7:23" x14ac:dyDescent="0.25">
      <c r="G59" s="8" t="s">
        <v>20</v>
      </c>
      <c r="H59" s="8"/>
      <c r="I59" s="8"/>
      <c r="J59" s="8"/>
      <c r="K59" s="2">
        <f>K56*K58</f>
        <v>1.5120000000000002</v>
      </c>
    </row>
  </sheetData>
  <mergeCells count="127">
    <mergeCell ref="G57:J57"/>
    <mergeCell ref="M54:P54"/>
    <mergeCell ref="S56:V56"/>
    <mergeCell ref="G51:J51"/>
    <mergeCell ref="M51:P51"/>
    <mergeCell ref="S48:V48"/>
    <mergeCell ref="G56:J56"/>
    <mergeCell ref="M53:P53"/>
    <mergeCell ref="S55:V55"/>
    <mergeCell ref="S53:V53"/>
    <mergeCell ref="S54:V54"/>
    <mergeCell ref="G49:J49"/>
    <mergeCell ref="M49:P49"/>
    <mergeCell ref="S46:V46"/>
    <mergeCell ref="G50:J50"/>
    <mergeCell ref="M50:P50"/>
    <mergeCell ref="S47:V47"/>
    <mergeCell ref="G47:J47"/>
    <mergeCell ref="M47:P47"/>
    <mergeCell ref="G48:J48"/>
    <mergeCell ref="M48:P48"/>
    <mergeCell ref="G45:J45"/>
    <mergeCell ref="M45:P45"/>
    <mergeCell ref="S45:V45"/>
    <mergeCell ref="G46:J46"/>
    <mergeCell ref="M46:P46"/>
    <mergeCell ref="G43:J43"/>
    <mergeCell ref="M43:P43"/>
    <mergeCell ref="S43:V43"/>
    <mergeCell ref="G44:J44"/>
    <mergeCell ref="M44:P44"/>
    <mergeCell ref="S44:V44"/>
    <mergeCell ref="A22:D22"/>
    <mergeCell ref="A23:D23"/>
    <mergeCell ref="G26:J26"/>
    <mergeCell ref="M41:Q41"/>
    <mergeCell ref="S41:W41"/>
    <mergeCell ref="G42:J42"/>
    <mergeCell ref="M42:P42"/>
    <mergeCell ref="S42:V42"/>
    <mergeCell ref="A37:D37"/>
    <mergeCell ref="A32:D32"/>
    <mergeCell ref="G29:K40"/>
    <mergeCell ref="M29:Q40"/>
    <mergeCell ref="S29:W40"/>
    <mergeCell ref="S18:V18"/>
    <mergeCell ref="S19:V19"/>
    <mergeCell ref="S20:V20"/>
    <mergeCell ref="S21:V21"/>
    <mergeCell ref="S22:V22"/>
    <mergeCell ref="S23:V23"/>
    <mergeCell ref="M25:P25"/>
    <mergeCell ref="G24:J24"/>
    <mergeCell ref="G25:J25"/>
    <mergeCell ref="G18:J18"/>
    <mergeCell ref="G19:J19"/>
    <mergeCell ref="G20:J20"/>
    <mergeCell ref="G21:J21"/>
    <mergeCell ref="G22:J22"/>
    <mergeCell ref="G23:J23"/>
    <mergeCell ref="S1:W12"/>
    <mergeCell ref="S13:W13"/>
    <mergeCell ref="S14:V14"/>
    <mergeCell ref="S15:V15"/>
    <mergeCell ref="S16:V16"/>
    <mergeCell ref="S17:V17"/>
    <mergeCell ref="M22:P22"/>
    <mergeCell ref="M23:P23"/>
    <mergeCell ref="M24:P24"/>
    <mergeCell ref="M13:Q13"/>
    <mergeCell ref="M14:P14"/>
    <mergeCell ref="M15:P15"/>
    <mergeCell ref="M16:P16"/>
    <mergeCell ref="M17:P17"/>
    <mergeCell ref="M18:P18"/>
    <mergeCell ref="M19:P19"/>
    <mergeCell ref="M21:P21"/>
    <mergeCell ref="S24:V24"/>
    <mergeCell ref="M20:P20"/>
    <mergeCell ref="A1:E12"/>
    <mergeCell ref="G1:K12"/>
    <mergeCell ref="M1:Q12"/>
    <mergeCell ref="A14:D14"/>
    <mergeCell ref="A15:D15"/>
    <mergeCell ref="G13:K13"/>
    <mergeCell ref="A13:E13"/>
    <mergeCell ref="M55:P55"/>
    <mergeCell ref="M56:P56"/>
    <mergeCell ref="A27:D27"/>
    <mergeCell ref="A28:D28"/>
    <mergeCell ref="A26:D26"/>
    <mergeCell ref="G14:J14"/>
    <mergeCell ref="G15:J15"/>
    <mergeCell ref="G16:J16"/>
    <mergeCell ref="G17:J17"/>
    <mergeCell ref="A16:D16"/>
    <mergeCell ref="A17:D17"/>
    <mergeCell ref="A18:D18"/>
    <mergeCell ref="A19:D19"/>
    <mergeCell ref="A20:D20"/>
    <mergeCell ref="A21:D21"/>
    <mergeCell ref="G41:K41"/>
    <mergeCell ref="A33:E33"/>
    <mergeCell ref="G59:J59"/>
    <mergeCell ref="A24:D24"/>
    <mergeCell ref="A25:D25"/>
    <mergeCell ref="S57:V57"/>
    <mergeCell ref="S58:V58"/>
    <mergeCell ref="M52:P52"/>
    <mergeCell ref="G52:J52"/>
    <mergeCell ref="G53:J53"/>
    <mergeCell ref="G54:J54"/>
    <mergeCell ref="G55:J55"/>
    <mergeCell ref="G58:J58"/>
    <mergeCell ref="G27:J27"/>
    <mergeCell ref="M26:P26"/>
    <mergeCell ref="M27:P27"/>
    <mergeCell ref="S26:V26"/>
    <mergeCell ref="S27:V27"/>
    <mergeCell ref="S49:V49"/>
    <mergeCell ref="S50:V50"/>
    <mergeCell ref="S51:V51"/>
    <mergeCell ref="S52:V52"/>
    <mergeCell ref="S25:V25"/>
    <mergeCell ref="A34:D34"/>
    <mergeCell ref="A35:D35"/>
    <mergeCell ref="A36:D3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5486-ED03-4DC0-AC04-A5134F75060A}">
  <dimension ref="A1:E12"/>
  <sheetViews>
    <sheetView workbookViewId="0">
      <selection activeCell="D5" sqref="D5:E6"/>
    </sheetView>
  </sheetViews>
  <sheetFormatPr defaultRowHeight="15" x14ac:dyDescent="0.25"/>
  <sheetData>
    <row r="1" spans="1:5" x14ac:dyDescent="0.25">
      <c r="A1" s="19" t="s">
        <v>41</v>
      </c>
      <c r="B1" s="19"/>
      <c r="C1" s="19"/>
      <c r="D1" s="19"/>
      <c r="E1" s="19"/>
    </row>
    <row r="2" spans="1:5" x14ac:dyDescent="0.25">
      <c r="A2" s="19"/>
      <c r="B2" s="19"/>
      <c r="C2" s="19"/>
      <c r="D2" s="19"/>
      <c r="E2" s="19"/>
    </row>
    <row r="3" spans="1:5" x14ac:dyDescent="0.25">
      <c r="A3" s="18" t="s">
        <v>42</v>
      </c>
      <c r="B3" s="18"/>
      <c r="C3" s="18"/>
      <c r="D3" s="18" t="s">
        <v>44</v>
      </c>
      <c r="E3" s="18"/>
    </row>
    <row r="4" spans="1:5" x14ac:dyDescent="0.25">
      <c r="A4" s="18" t="s">
        <v>43</v>
      </c>
      <c r="B4" s="18"/>
      <c r="C4" s="18"/>
      <c r="D4" s="18" t="s">
        <v>45</v>
      </c>
      <c r="E4" s="18"/>
    </row>
    <row r="5" spans="1:5" x14ac:dyDescent="0.25">
      <c r="A5" s="18" t="s">
        <v>46</v>
      </c>
      <c r="B5" s="18"/>
      <c r="C5" s="18"/>
      <c r="D5" s="18" t="s">
        <v>45</v>
      </c>
      <c r="E5" s="18"/>
    </row>
    <row r="6" spans="1:5" x14ac:dyDescent="0.25">
      <c r="A6" s="18" t="s">
        <v>47</v>
      </c>
      <c r="B6" s="18"/>
      <c r="C6" s="18"/>
      <c r="D6" s="18" t="s">
        <v>45</v>
      </c>
      <c r="E6" s="18"/>
    </row>
    <row r="7" spans="1:5" x14ac:dyDescent="0.25">
      <c r="A7" s="18"/>
      <c r="B7" s="18"/>
      <c r="C7" s="18"/>
    </row>
    <row r="8" spans="1:5" x14ac:dyDescent="0.25">
      <c r="A8" s="18"/>
      <c r="B8" s="18"/>
      <c r="C8" s="18"/>
    </row>
    <row r="9" spans="1:5" x14ac:dyDescent="0.25">
      <c r="A9" s="18"/>
      <c r="B9" s="18"/>
      <c r="C9" s="18"/>
    </row>
    <row r="10" spans="1:5" x14ac:dyDescent="0.25">
      <c r="A10" s="18"/>
      <c r="B10" s="18"/>
      <c r="C10" s="18"/>
    </row>
    <row r="11" spans="1:5" x14ac:dyDescent="0.25">
      <c r="A11" s="18"/>
      <c r="B11" s="18"/>
      <c r="C11" s="18"/>
    </row>
    <row r="12" spans="1:5" x14ac:dyDescent="0.25">
      <c r="A12" s="18"/>
      <c r="B12" s="18"/>
      <c r="C12" s="18"/>
    </row>
  </sheetData>
  <mergeCells count="15">
    <mergeCell ref="A12:C12"/>
    <mergeCell ref="A1:E2"/>
    <mergeCell ref="A3:C3"/>
    <mergeCell ref="A4:C4"/>
    <mergeCell ref="A5:C5"/>
    <mergeCell ref="A6:C6"/>
    <mergeCell ref="D3:E3"/>
    <mergeCell ref="D4:E4"/>
    <mergeCell ref="D5:E5"/>
    <mergeCell ref="D6:E6"/>
    <mergeCell ref="A7:C7"/>
    <mergeCell ref="A8:C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marlonjj Silva</dc:creator>
  <cp:lastModifiedBy>marlonjj Silva</cp:lastModifiedBy>
  <dcterms:created xsi:type="dcterms:W3CDTF">2020-09-27T03:30:46Z</dcterms:created>
  <dcterms:modified xsi:type="dcterms:W3CDTF">2021-02-24T17:58:49Z</dcterms:modified>
</cp:coreProperties>
</file>